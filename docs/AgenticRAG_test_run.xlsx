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ow to use" sheetId="1" state="visible" r:id="rId3"/>
    <sheet name="Test cases" sheetId="2" state="visible" r:id="rId4"/>
    <sheet name="Summary" sheetId="3" state="visible" r:id="rId5"/>
  </sheets>
  <definedNames>
    <definedName function="false" hidden="true" localSheetId="1" name="_xlnm._FilterDatabase" vbProcedure="false">'Test cases'!$A$1:$K$27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<sst xmlns="http://schemas.openxmlformats.org/spreadsheetml/2006/main" count="239" uniqueCount="179">
  <si>
    <t xml:space="preserve">How to use this sheet</t>
  </si>
  <si>
    <t xml:space="preserve">Fill in</t>
  </si>
  <si>
    <t xml:space="preserve">Only the yellow columns on 'Test cases': Actual outcome, Result, Investigation ID, Evidence, Notes.</t>
  </si>
  <si>
    <t xml:space="preserve">Evidence screenshots</t>
  </si>
  <si>
    <t xml:space="preserve">Click the Evidence cell, then Insert &gt; Pictures &gt; Place in Cell (Excel 365) so the image stays with its row when sorting/filtering. Older Excel: Insert &gt; Pictures, then resize it to fit the cell. Rows are tall enough for a readable screenshot.</t>
  </si>
  <si>
    <t xml:space="preserve">Result values</t>
  </si>
  <si>
    <t xml:space="preserve">Pass = matches the expected outcome and behaviour; Fail = does not; Retest = rerun needed (e.g. rate-limit wait); Blocked = could not run (e.g. Elasticsearch not started).</t>
  </si>
  <si>
    <t xml:space="preserve">Investigation ID</t>
  </si>
  <si>
    <t xml:space="preserve">Shown under the question in the app (e.g. inv_9de4779818a9). Note it in the Actual outcome cell for failing cases so the run can be analysed.</t>
  </si>
  <si>
    <t xml:space="preserve">Uploading</t>
  </si>
  <si>
    <t xml:space="preserve">'With the question' = '+ Attach a document' before submitting. 'When asked' = the file picker in the 'The agent needs something from you' card.</t>
  </si>
  <si>
    <t xml:space="preserve">Order</t>
  </si>
  <si>
    <t xml:space="preserve">Run in sheet order: 21 needs 13 first; do 20's interruption on the first run of that file; 23 and 24 change the setup (search / model stopped), so they come last.</t>
  </si>
  <si>
    <t xml:space="preserve">Pacing</t>
  </si>
  <si>
    <t xml:space="preserve">No rate limits with the local model; allow ~30 s after starting the API while the model loads.</t>
  </si>
  <si>
    <t xml:space="preserve">Paths</t>
  </si>
  <si>
    <t xml:space="preserve">Upload paths are relative to D:\AgenticRAG.</t>
  </si>
  <si>
    <t xml:space="preserve">Example of a filled row</t>
  </si>
  <si>
    <t xml:space="preserve">Actual outcome</t>
  </si>
  <si>
    <t xml:space="preserve">ANSWERED</t>
  </si>
  <si>
    <t xml:space="preserve">Result</t>
  </si>
  <si>
    <t xml:space="preserve">Pass</t>
  </si>
  <si>
    <t xml:space="preserve">Evidence (screenshot)</t>
  </si>
  <si>
    <t xml:space="preserve">[screenshot of the answer card with the e# citation drawer open]</t>
  </si>
  <si>
    <t xml:space="preserve">Revision</t>
  </si>
  <si>
    <t xml:space="preserve">Revised 29 Oct 2026: two cases removed from the first sheet ('Is the warranty 12 or 24 months?' and 'Retail price of a new X200?'); cases numbered 1-24 in the original order, references to other cases updated, upload paths for 14 and 16 corrected, 20 and 24 updated.</t>
  </si>
  <si>
    <t xml:space="preserve">#</t>
  </si>
  <si>
    <t xml:space="preserve">Category</t>
  </si>
  <si>
    <t xml:space="preserve">Scenario</t>
  </si>
  <si>
    <t xml:space="preserve">Question to type</t>
  </si>
  <si>
    <t xml:space="preserve">Upload file</t>
  </si>
  <si>
    <t xml:space="preserve">When to upload</t>
  </si>
  <si>
    <t xml:space="preserve">Expected outcome</t>
  </si>
  <si>
    <t xml:space="preserve">Expected behaviour / what to check</t>
  </si>
  <si>
    <t xml:space="preserve">1</t>
  </si>
  <si>
    <t xml:space="preserve">Answered</t>
  </si>
  <si>
    <t xml:space="preserve">Simple lookup</t>
  </si>
  <si>
    <t xml:space="preserve">How long does the Acme lease run?</t>
  </si>
  <si>
    <t xml:space="preserve">36 months, cited to the contract (section 2).</t>
  </si>
  <si>
    <t xml:space="preserve">2</t>
  </si>
  <si>
    <t xml:space="preserve">Table lookup</t>
  </si>
  <si>
    <t xml:space="preserve">What does error E05 mean on the X200?</t>
  </si>
  <si>
    <t xml:space="preserve">Phase loss; check the supply. Cites X200 manual section 6.</t>
  </si>
  <si>
    <t xml:space="preserve">3</t>
  </si>
  <si>
    <t xml:space="preserve">Yes/no question</t>
  </si>
  <si>
    <t xml:space="preserve">Is damage from a lightning strike covered?</t>
  </si>
  <si>
    <t xml:space="preserve">No - it is an exclusion (policy section 4).</t>
  </si>
  <si>
    <t xml:space="preserve">4</t>
  </si>
  <si>
    <t xml:space="preserve">Casual wording</t>
  </si>
  <si>
    <t xml:space="preserve">my pump broke, how many days do i have to report it?</t>
  </si>
  <si>
    <t xml:space="preserve">30 days from the failure (policy section 7 / 12).</t>
  </si>
  <si>
    <t xml:space="preserve">5</t>
  </si>
  <si>
    <t xml:space="preserve">Answer across two documents</t>
  </si>
  <si>
    <t xml:space="preserve">What is required when installing an X200?</t>
  </si>
  <si>
    <t xml:space="preserve">Certified installer, level concrete base, isolation and non-return valves, dry-run switch, motor protection breaker. Cites the policy and the X200 manual.</t>
  </si>
  <si>
    <t xml:space="preserve">6</t>
  </si>
  <si>
    <t xml:space="preserve">Answered with caveats</t>
  </si>
  <si>
    <t xml:space="preserve">Part of the answer missing</t>
  </si>
  <si>
    <t xml:space="preserve">Compare the specifications of the X100, X200 and X300 in a table</t>
  </si>
  <si>
    <t xml:space="preserve">ANSWERED_WITH_CAVEATS</t>
  </si>
  <si>
    <t xml:space="preserve">Table for X200 and X300; caveat that the documents have no X100 specifications.</t>
  </si>
  <si>
    <t xml:space="preserve">7</t>
  </si>
  <si>
    <t xml:space="preserve">Version / effective date</t>
  </si>
  <si>
    <t xml:space="preserve">Does a pump bought in 2024 fall under the amendment?</t>
  </si>
  <si>
    <t xml:space="preserve">No - units bought before 1 Jan 2025 keep the original section 2.</t>
  </si>
  <si>
    <t xml:space="preserve">8</t>
  </si>
  <si>
    <t xml:space="preserve">Insufficient evidence</t>
  </si>
  <si>
    <t xml:space="preserve">Unknown product</t>
  </si>
  <si>
    <t xml:space="preserve">What is the warranty on the Aquaflow X900?</t>
  </si>
  <si>
    <t xml:space="preserve">INSUFFICIENT_EVIDENCE</t>
  </si>
  <si>
    <t xml:space="preserve">"The documents do not cover X900"; no policy text applied to it.</t>
  </si>
  <si>
    <t xml:space="preserve">9</t>
  </si>
  <si>
    <t xml:space="preserve">Out of scope</t>
  </si>
  <si>
    <t xml:space="preserve">What will the weather be in Leeds tomorrow?</t>
  </si>
  <si>
    <t xml:space="preserve">Clean refusal, no citations.</t>
  </si>
  <si>
    <t xml:space="preserve">10a</t>
  </si>
  <si>
    <t xml:space="preserve">Missing info</t>
  </si>
  <si>
    <t xml:space="preserve">Agent asks for missing information</t>
  </si>
  <si>
    <t xml:space="preserve">Is the motor seizure of Acme Facilities' Aquaflow X200 pump (serial AQ-X200-55871) on 14 March 2026 covered under warranty?</t>
  </si>
  <si>
    <t xml:space="preserve">NEEDS_INPUT</t>
  </si>
  <si>
    <t xml:space="preserve">After searching and reading the scanned contract page, asks for the receipt / purchase date.</t>
  </si>
  <si>
    <t xml:space="preserve">10b</t>
  </si>
  <si>
    <t xml:space="preserve">Final answer when you cannot supply it</t>
  </si>
  <si>
    <t xml:space="preserve">(in 10a's reply card) I don't have the receipt</t>
  </si>
  <si>
    <t xml:space="preserve">MISSING_INFO</t>
  </si>
  <si>
    <t xml:space="preserve">Explains that the purchase date decides it (12-month window); does not ask again.</t>
  </si>
  <si>
    <t xml:space="preserve">11a</t>
  </si>
  <si>
    <t xml:space="preserve">Requirement vs fact</t>
  </si>
  <si>
    <t xml:space="preserve">Was Acme's X200 installed by an Aquaflow Certified Installer?</t>
  </si>
  <si>
    <t xml:space="preserve">NEEDS_INPUT or MISSING_INFO</t>
  </si>
  <si>
    <t xml:space="preserve">Cites the requirement (policy 5.2) but says no document records who installed it; asks you or explains.</t>
  </si>
  <si>
    <t xml:space="preserve">11b</t>
  </si>
  <si>
    <t xml:space="preserve">Answered from upload</t>
  </si>
  <si>
    <t xml:space="preserve">Upload fills the gap; no OCR needed</t>
  </si>
  <si>
    <t xml:space="preserve">(reply in 11a's card; if 11a finished without asking, re-ask 11a's question with the file attached)</t>
  </si>
  <si>
    <t xml:space="preserve">samples\test_uploads\installation_certificate_x200.pdf</t>
  </si>
  <si>
    <t xml:space="preserve">When asked (or with the question)</t>
  </si>
  <si>
    <t xml:space="preserve">Yes: D. Okafor, ACI-2291, 22 March 2025. Timeline starts with automatic steps reading the certificate; upload notice says OCR: none (text layer used).</t>
  </si>
  <si>
    <t xml:space="preserve">12</t>
  </si>
  <si>
    <t xml:space="preserve">Answer resting on your typed reply</t>
  </si>
  <si>
    <t xml:space="preserve">Is the motor seizure of Acme Facilities' Aquaflow X200 pump (serial AQ-X200-55871) on 14 March 2026 covered under warranty?  -&gt;  when asked, type: It was bought on 20 March 2025</t>
  </si>
  <si>
    <t xml:space="preserve">Covered; source shown as 'Your reply' (USER_STATED) with a caveat that no document confirms the date.</t>
  </si>
  <si>
    <t xml:space="preserve">13</t>
  </si>
  <si>
    <t xml:space="preserve">Clean receipt: covered</t>
  </si>
  <si>
    <t xml:space="preserve">samples\test_uploads\receipt_x200_clean_covered.png</t>
  </si>
  <si>
    <t xml:space="preserve">When asked</t>
  </si>
  <si>
    <t xml:space="preserve">ANSWERED (or WITH_CAVEATS)</t>
  </si>
  <si>
    <t xml:space="preserve">Covered: bought 20-03-2025; Schedule B = COMMERCIAL, so 12 months (amendment) -&gt; until 20-03-2026, which includes the 14 March 2026 failure. The answer should also say labour is NOT covered (commercial units: labour only for the first 6 months), so parts only.</t>
  </si>
  <si>
    <t xml:space="preserve">ANSWERED, No caveats
Did include caveats on a re-run explicitly asking for caveats</t>
  </si>
  <si>
    <t xml:space="preserve">14</t>
  </si>
  <si>
    <t xml:space="preserve">Clean receipt: not covered</t>
  </si>
  <si>
    <t xml:space="preserve">samples\test_uploads\receipt_x200_clean_expired.png</t>
  </si>
  <si>
    <t xml:space="preserve">Not covered: bought 05-03-2025, commercial -&gt; 12 months -&gt; warranty ended 05-03-2026, before the 14 March 2026 failure. The smudged receipt number does not matter (it is not used).</t>
  </si>
  <si>
    <t xml:space="preserve">15</t>
  </si>
  <si>
    <t xml:space="preserve">Uncertain OCR: blurred receipt</t>
  </si>
  <si>
    <t xml:space="preserve">samples\test_uploads\receipt_x200_blurred.png</t>
  </si>
  <si>
    <t xml:space="preserve">Date read with low OCR confidence (UNVERIFIED); asks for a clearer copy. Citation drawer highlights the words.</t>
  </si>
  <si>
    <t xml:space="preserve">16</t>
  </si>
  <si>
    <t xml:space="preserve">Uncertain OCR: one smudged digit</t>
  </si>
  <si>
    <t xml:space="preserve">samples\test_uploads\receipt_x200_smudged_digit.png</t>
  </si>
  <si>
    <t xml:space="preserve">The smudged digit decides the verdict: 12-03-2025 would have expired 12-03-2026 (not covered), 17-03-2025 runs to 17-03-2026 (covered). So no verdict; asks for a clearer copy.</t>
  </si>
  <si>
    <t xml:space="preserve">17</t>
  </si>
  <si>
    <t xml:space="preserve">Misleading evidence</t>
  </si>
  <si>
    <t xml:space="preserve">Receipt for a different pump</t>
  </si>
  <si>
    <t xml:space="preserve">samples\test_uploads\receipt_x200_wrong_serial.png</t>
  </si>
  <si>
    <t xml:space="preserve">MISSING_INFO or INSUFFICIENT_EVIDENCE</t>
  </si>
  <si>
    <t xml:space="preserve">Refuses to use it: the receipt is for AQ-X200-60112 (Bexley Dairies), not Acme's unit. (Model judgement - rerun once if it misses.)</t>
  </si>
  <si>
    <t xml:space="preserve">18</t>
  </si>
  <si>
    <t xml:space="preserve">Conflict</t>
  </si>
  <si>
    <t xml:space="preserve">Unresolvable conflict between records</t>
  </si>
  <si>
    <t xml:space="preserve">samples\test_uploads\purchase_records_conflicting.pdf</t>
  </si>
  <si>
    <t xml:space="preserve">CONFLICT</t>
  </si>
  <si>
    <t xml:space="preserve">Two purchase dates (20 Mar vs 2 Feb 2025) give opposite verdicts; cites both pages, does not pick one. (Model judgement - rerun once if it misses.)</t>
  </si>
  <si>
    <t xml:space="preserve">19</t>
  </si>
  <si>
    <t xml:space="preserve">Answer only possible from an upload</t>
  </si>
  <si>
    <t xml:space="preserve">Is the X300 pump with serial AQ-X300-10457 still under warranty on 1 October 2026?</t>
  </si>
  <si>
    <t xml:space="preserve">samples\test_uploads\warranty_card_x300.png</t>
  </si>
  <si>
    <t xml:space="preserve">With the question</t>
  </si>
  <si>
    <t xml:space="preserve">Yes: 36-month Extended Care from 02-09-2024 (to 02-09-2027); caveat that the annual service is not evidenced.</t>
  </si>
  <si>
    <t xml:space="preserve">20</t>
  </si>
  <si>
    <t xml:space="preserve">Reliability</t>
  </si>
  <si>
    <t xml:space="preserve">Multi-page scan + interrupt and resume</t>
  </si>
  <si>
    <t xml:space="preserve">When were the bearings on Acme's X200 last regreased, and at how many operating hours?</t>
  </si>
  <si>
    <t xml:space="preserve">samples\test_uploads\maintenance_log_x200_scanned.pdf</t>
  </si>
  <si>
    <t xml:space="preserve">INTERRUPTED -&gt; ANSWERED</t>
  </si>
  <si>
    <t xml:space="preserve">While it shows 'Scanning ... with OCR', press Ctrl+C TWICE in the uvicorn window (one Ctrl+C waits for the running investigation to finish, which is why it just answered), or close the window. Restart uvicorn and refresh: INTERRUPTED with a Resume button; pages already OCR'd are not redone. After Resume: 15 January 2026 at 8,000 h. Do this on the FIRST run of the file (after a history reset if it was uploaded before).</t>
  </si>
  <si>
    <t xml:space="preserve">No interrupted status shown, directly answered when the app was refreshed </t>
  </si>
  <si>
    <t xml:space="preserve">21</t>
  </si>
  <si>
    <t xml:space="preserve">Duplicate upload (after step 13)</t>
  </si>
  <si>
    <t xml:space="preserve">Is this receipt for Acme's X200?</t>
  </si>
  <si>
    <t xml:space="preserve">samples\test_uploads\receipt_x200_clean_covered_COPY.png</t>
  </si>
  <si>
    <t xml:space="preserve">(any) + DUPLICATE badge</t>
  </si>
  <si>
    <t xml:space="preserve">Upload notice shows DUPLICATE: same document as step 13 (same bytes, different file name), not processed again. Run after step 13.</t>
  </si>
  <si>
    <t xml:space="preserve">22</t>
  </si>
  <si>
    <t xml:space="preserve">Unsupported file type</t>
  </si>
  <si>
    <t xml:space="preserve">What is in this file?</t>
  </si>
  <si>
    <t xml:space="preserve">samples\test_uploads\unsupported_notes.csv</t>
  </si>
  <si>
    <t xml:space="preserve">Rejected (HTTP 415)</t>
  </si>
  <si>
    <t xml:space="preserve">Error under the question box: unsupported file type; nothing added to history.</t>
  </si>
  <si>
    <t xml:space="preserve">23</t>
  </si>
  <si>
    <t xml:space="preserve">Tool failure</t>
  </si>
  <si>
    <t xml:space="preserve">Search down</t>
  </si>
  <si>
    <t xml:space="preserve">First run: docker compose stop elasticsearch   then ask: How long does the Acme lease run?</t>
  </si>
  <si>
    <t xml:space="preserve">TOOL_FAILURE</t>
  </si>
  <si>
    <t xml:space="preserve">Within a few seconds: 'Search: Elasticsearch could not be reached'; no model call. Afterwards: docker compose start elasticsearch (search works again ~20 s later).</t>
  </si>
  <si>
    <t xml:space="preserve">24</t>
  </si>
  <si>
    <t xml:space="preserve">Language model down</t>
  </si>
  <si>
    <t xml:space="preserve">Quit Ollama (tray icon -&gt; Quit), then ask: How long does the Acme lease run?</t>
  </si>
  <si>
    <t xml:space="preserve">TOOL_FAILURE within seconds: 'Language model: Ollama is not reachable...'. Not 'no information'. Start Ollama again afterwards.</t>
  </si>
  <si>
    <t xml:space="preserve">Test run summary</t>
  </si>
  <si>
    <t xml:space="preserve">Rows (24 cases; 10 and 11 have parts a and b)</t>
  </si>
  <si>
    <t xml:space="preserve">Fail</t>
  </si>
  <si>
    <t xml:space="preserve">Retest</t>
  </si>
  <si>
    <t xml:space="preserve">Blocked</t>
  </si>
  <si>
    <t xml:space="preserve">Not run yet</t>
  </si>
  <si>
    <t xml:space="preserve">Pass rate (of run)</t>
  </si>
  <si>
    <t xml:space="preserve">Passes per category</t>
  </si>
  <si>
    <t xml:space="preserve">Cases</t>
  </si>
  <si>
    <t xml:space="preserve">Contradiction resolved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</si>
</sst>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EB9C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00"/>
  </cols>
  <sheetData>
    <row r="1" customFormat="false" ht="17.25" hidden="false" customHeight="true" outlineLevel="0" collapsed="false">
      <c r="A1" s="2" t="s">
        <v>0</v>
      </c>
      <c r="B1" s="3"/>
    </row>
    <row r="2" customFormat="false" ht="14.25" hidden="false" customHeight="true" outlineLevel="0" collapsed="false">
      <c r="A2" s="4" t="s">
        <v>1</v>
      </c>
      <c r="B2" s="3" t="s">
        <v>2</v>
      </c>
    </row>
    <row r="3" customFormat="false" ht="39" hidden="false" customHeight="true" outlineLevel="0" collapsed="false">
      <c r="A3" s="4" t="s">
        <v>3</v>
      </c>
      <c r="B3" s="3" t="s">
        <v>4</v>
      </c>
    </row>
    <row r="4" customFormat="false" ht="26.25" hidden="false" customHeight="true" outlineLevel="0" collapsed="false">
      <c r="A4" s="4" t="s">
        <v>5</v>
      </c>
      <c r="B4" s="3" t="s">
        <v>6</v>
      </c>
    </row>
    <row r="5" customFormat="false" ht="23.25" hidden="false" customHeight="true" outlineLevel="0" collapsed="false">
      <c r="A5" s="4" t="s">
        <v>7</v>
      </c>
      <c r="B5" s="3" t="s">
        <v>8</v>
      </c>
    </row>
    <row r="6" customFormat="false" ht="26.25" hidden="false" customHeight="true" outlineLevel="0" collapsed="false">
      <c r="A6" s="4" t="s">
        <v>9</v>
      </c>
      <c r="B6" s="3" t="s">
        <v>10</v>
      </c>
    </row>
    <row r="7" customFormat="false" ht="26.25" hidden="false" customHeight="true" outlineLevel="0" collapsed="false">
      <c r="A7" s="4" t="s">
        <v>11</v>
      </c>
      <c r="B7" s="3" t="s">
        <v>12</v>
      </c>
    </row>
    <row r="8" customFormat="false" ht="23.25" hidden="false" customHeight="true" outlineLevel="0" collapsed="false">
      <c r="A8" s="4" t="s">
        <v>13</v>
      </c>
      <c r="B8" s="3" t="s">
        <v>14</v>
      </c>
    </row>
    <row r="9" customFormat="false" ht="14.25" hidden="false" customHeight="true" outlineLevel="0" collapsed="false">
      <c r="A9" s="4" t="s">
        <v>15</v>
      </c>
      <c r="B9" s="3" t="s">
        <v>16</v>
      </c>
    </row>
    <row r="10" customFormat="false" ht="14.25" hidden="false" customHeight="true" outlineLevel="0" collapsed="false">
      <c r="A10" s="4"/>
      <c r="B10" s="3"/>
    </row>
    <row r="11" customFormat="false" ht="14.25" hidden="false" customHeight="true" outlineLevel="0" collapsed="false">
      <c r="A11" s="4" t="s">
        <v>17</v>
      </c>
      <c r="B11" s="3"/>
    </row>
    <row r="12" customFormat="false" ht="14.25" hidden="false" customHeight="true" outlineLevel="0" collapsed="false">
      <c r="A12" s="4" t="s">
        <v>18</v>
      </c>
      <c r="B12" s="5" t="s">
        <v>19</v>
      </c>
    </row>
    <row r="13" customFormat="false" ht="14.25" hidden="false" customHeight="true" outlineLevel="0" collapsed="false">
      <c r="A13" s="4" t="s">
        <v>20</v>
      </c>
      <c r="B13" s="5" t="s">
        <v>21</v>
      </c>
    </row>
    <row r="14" customFormat="false" ht="14.25" hidden="false" customHeight="true" outlineLevel="0" collapsed="false">
      <c r="A14" s="4" t="s">
        <v>22</v>
      </c>
      <c r="B14" s="5" t="s">
        <v>23</v>
      </c>
    </row>
    <row r="16" customFormat="false" ht="34.5" hidden="false" customHeight="true" outlineLevel="0" collapsed="false">
      <c r="A16" s="6" t="s">
        <v>24</v>
      </c>
      <c r="B16" s="3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7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pane xSplit="3" ySplit="1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E17" activeCellId="0" sqref="E17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7"/>
    <col collapsed="false" customWidth="true" hidden="false" outlineLevel="0" max="3" min="3" style="1" width="24"/>
    <col collapsed="false" customWidth="true" hidden="false" outlineLevel="0" max="4" min="4" style="1" width="35.77"/>
    <col collapsed="false" customWidth="true" hidden="false" outlineLevel="0" max="5" min="5" style="1" width="30"/>
    <col collapsed="false" customWidth="true" hidden="false" outlineLevel="0" max="6" min="6" style="1" width="15"/>
    <col collapsed="false" customWidth="true" hidden="false" outlineLevel="0" max="7" min="7" style="1" width="25.88"/>
    <col collapsed="false" customWidth="true" hidden="false" outlineLevel="0" max="8" min="8" style="1" width="39.11"/>
    <col collapsed="false" customWidth="true" hidden="false" outlineLevel="0" max="9" min="9" style="1" width="22"/>
    <col collapsed="false" customWidth="true" hidden="false" outlineLevel="0" max="10" min="10" style="1" width="10"/>
    <col collapsed="false" customWidth="true" hidden="false" outlineLevel="0" max="11" min="11" style="1" width="60"/>
  </cols>
  <sheetData>
    <row r="1" customFormat="false" ht="27" hidden="false" customHeight="true" outlineLevel="0" collapsed="false">
      <c r="A1" s="7" t="s">
        <v>26</v>
      </c>
      <c r="B1" s="7" t="s">
        <v>27</v>
      </c>
      <c r="C1" s="7" t="s">
        <v>28</v>
      </c>
      <c r="D1" s="7" t="s">
        <v>29</v>
      </c>
      <c r="E1" s="7" t="s">
        <v>30</v>
      </c>
      <c r="F1" s="7" t="s">
        <v>31</v>
      </c>
      <c r="G1" s="7" t="s">
        <v>32</v>
      </c>
      <c r="H1" s="7" t="s">
        <v>33</v>
      </c>
      <c r="I1" s="7" t="s">
        <v>18</v>
      </c>
      <c r="J1" s="7" t="s">
        <v>20</v>
      </c>
      <c r="K1" s="7" t="s">
        <v>22</v>
      </c>
    </row>
    <row r="2" customFormat="false" ht="14.25" hidden="false" customHeight="true" outlineLevel="0" collapsed="false">
      <c r="A2" s="8" t="s">
        <v>34</v>
      </c>
      <c r="B2" s="9" t="s">
        <v>35</v>
      </c>
      <c r="C2" s="9" t="s">
        <v>36</v>
      </c>
      <c r="D2" s="9" t="s">
        <v>37</v>
      </c>
      <c r="E2" s="9"/>
      <c r="F2" s="9"/>
      <c r="G2" s="9" t="s">
        <v>19</v>
      </c>
      <c r="H2" s="9" t="s">
        <v>38</v>
      </c>
      <c r="I2" s="10"/>
      <c r="J2" s="10"/>
      <c r="K2" s="10"/>
    </row>
    <row r="3" customFormat="false" ht="26.25" hidden="false" customHeight="true" outlineLevel="0" collapsed="false">
      <c r="A3" s="8" t="s">
        <v>39</v>
      </c>
      <c r="B3" s="9" t="s">
        <v>35</v>
      </c>
      <c r="C3" s="9" t="s">
        <v>40</v>
      </c>
      <c r="D3" s="9" t="s">
        <v>41</v>
      </c>
      <c r="E3" s="9"/>
      <c r="F3" s="9"/>
      <c r="G3" s="9" t="s">
        <v>19</v>
      </c>
      <c r="H3" s="9" t="s">
        <v>42</v>
      </c>
      <c r="I3" s="10"/>
      <c r="J3" s="10"/>
      <c r="K3" s="10"/>
    </row>
    <row r="4" customFormat="false" ht="26.25" hidden="false" customHeight="true" outlineLevel="0" collapsed="false">
      <c r="A4" s="8" t="s">
        <v>43</v>
      </c>
      <c r="B4" s="9" t="s">
        <v>35</v>
      </c>
      <c r="C4" s="9" t="s">
        <v>44</v>
      </c>
      <c r="D4" s="9" t="s">
        <v>45</v>
      </c>
      <c r="E4" s="9"/>
      <c r="F4" s="9"/>
      <c r="G4" s="9" t="s">
        <v>19</v>
      </c>
      <c r="H4" s="9" t="s">
        <v>46</v>
      </c>
      <c r="I4" s="10"/>
      <c r="J4" s="10"/>
      <c r="K4" s="10"/>
    </row>
    <row r="5" customFormat="false" ht="26.25" hidden="false" customHeight="true" outlineLevel="0" collapsed="false">
      <c r="A5" s="8" t="s">
        <v>47</v>
      </c>
      <c r="B5" s="9" t="s">
        <v>35</v>
      </c>
      <c r="C5" s="9" t="s">
        <v>48</v>
      </c>
      <c r="D5" s="9" t="s">
        <v>49</v>
      </c>
      <c r="E5" s="9"/>
      <c r="F5" s="9"/>
      <c r="G5" s="9" t="s">
        <v>19</v>
      </c>
      <c r="H5" s="9" t="s">
        <v>50</v>
      </c>
      <c r="I5" s="10"/>
      <c r="J5" s="10"/>
      <c r="K5" s="10"/>
    </row>
    <row r="6" customFormat="false" ht="52.5" hidden="false" customHeight="true" outlineLevel="0" collapsed="false">
      <c r="A6" s="8" t="s">
        <v>51</v>
      </c>
      <c r="B6" s="9" t="s">
        <v>35</v>
      </c>
      <c r="C6" s="9" t="s">
        <v>52</v>
      </c>
      <c r="D6" s="9" t="s">
        <v>53</v>
      </c>
      <c r="E6" s="9"/>
      <c r="F6" s="9"/>
      <c r="G6" s="9" t="s">
        <v>19</v>
      </c>
      <c r="H6" s="9" t="s">
        <v>54</v>
      </c>
      <c r="I6" s="10"/>
      <c r="J6" s="10"/>
      <c r="K6" s="10"/>
    </row>
    <row r="7" customFormat="false" ht="26.25" hidden="false" customHeight="true" outlineLevel="0" collapsed="false">
      <c r="A7" s="8" t="s">
        <v>55</v>
      </c>
      <c r="B7" s="9" t="s">
        <v>56</v>
      </c>
      <c r="C7" s="9" t="s">
        <v>57</v>
      </c>
      <c r="D7" s="9" t="s">
        <v>58</v>
      </c>
      <c r="E7" s="9"/>
      <c r="F7" s="9"/>
      <c r="G7" s="9" t="s">
        <v>59</v>
      </c>
      <c r="H7" s="9" t="s">
        <v>60</v>
      </c>
      <c r="I7" s="10"/>
      <c r="J7" s="10"/>
      <c r="K7" s="10"/>
    </row>
    <row r="8" customFormat="false" ht="26.25" hidden="false" customHeight="true" outlineLevel="0" collapsed="false">
      <c r="A8" s="8" t="s">
        <v>61</v>
      </c>
      <c r="B8" s="9" t="s">
        <v>35</v>
      </c>
      <c r="C8" s="9" t="s">
        <v>62</v>
      </c>
      <c r="D8" s="9" t="s">
        <v>63</v>
      </c>
      <c r="E8" s="9"/>
      <c r="F8" s="9"/>
      <c r="G8" s="9" t="s">
        <v>19</v>
      </c>
      <c r="H8" s="9" t="s">
        <v>64</v>
      </c>
      <c r="I8" s="10"/>
      <c r="J8" s="10"/>
      <c r="K8" s="10"/>
    </row>
    <row r="9" customFormat="false" ht="26.25" hidden="false" customHeight="true" outlineLevel="0" collapsed="false">
      <c r="A9" s="8" t="s">
        <v>65</v>
      </c>
      <c r="B9" s="9" t="s">
        <v>66</v>
      </c>
      <c r="C9" s="9" t="s">
        <v>67</v>
      </c>
      <c r="D9" s="9" t="s">
        <v>68</v>
      </c>
      <c r="E9" s="9"/>
      <c r="F9" s="9"/>
      <c r="G9" s="9" t="s">
        <v>69</v>
      </c>
      <c r="H9" s="9" t="s">
        <v>70</v>
      </c>
      <c r="I9" s="10"/>
      <c r="J9" s="10"/>
      <c r="K9" s="10"/>
    </row>
    <row r="10" customFormat="false" ht="26.25" hidden="false" customHeight="true" outlineLevel="0" collapsed="false">
      <c r="A10" s="8" t="s">
        <v>71</v>
      </c>
      <c r="B10" s="9" t="s">
        <v>66</v>
      </c>
      <c r="C10" s="9" t="s">
        <v>72</v>
      </c>
      <c r="D10" s="9" t="s">
        <v>73</v>
      </c>
      <c r="E10" s="9"/>
      <c r="F10" s="9"/>
      <c r="G10" s="9" t="s">
        <v>69</v>
      </c>
      <c r="H10" s="9" t="s">
        <v>74</v>
      </c>
      <c r="I10" s="10"/>
      <c r="J10" s="10"/>
      <c r="K10" s="10"/>
    </row>
    <row r="11" customFormat="false" ht="52.5" hidden="false" customHeight="true" outlineLevel="0" collapsed="false">
      <c r="A11" s="8" t="s">
        <v>75</v>
      </c>
      <c r="B11" s="9" t="s">
        <v>76</v>
      </c>
      <c r="C11" s="9" t="s">
        <v>77</v>
      </c>
      <c r="D11" s="9" t="s">
        <v>78</v>
      </c>
      <c r="E11" s="9"/>
      <c r="F11" s="9"/>
      <c r="G11" s="9" t="s">
        <v>79</v>
      </c>
      <c r="H11" s="9" t="s">
        <v>80</v>
      </c>
      <c r="I11" s="10"/>
      <c r="J11" s="10"/>
      <c r="K11" s="10"/>
    </row>
    <row r="12" customFormat="false" ht="26.25" hidden="false" customHeight="true" outlineLevel="0" collapsed="false">
      <c r="A12" s="8" t="s">
        <v>81</v>
      </c>
      <c r="B12" s="9" t="s">
        <v>76</v>
      </c>
      <c r="C12" s="9" t="s">
        <v>82</v>
      </c>
      <c r="D12" s="9" t="s">
        <v>83</v>
      </c>
      <c r="E12" s="9"/>
      <c r="F12" s="9"/>
      <c r="G12" s="9" t="s">
        <v>84</v>
      </c>
      <c r="H12" s="9" t="s">
        <v>85</v>
      </c>
      <c r="I12" s="10"/>
      <c r="J12" s="10"/>
      <c r="K12" s="10"/>
    </row>
    <row r="13" customFormat="false" ht="39" hidden="false" customHeight="true" outlineLevel="0" collapsed="false">
      <c r="A13" s="8" t="s">
        <v>86</v>
      </c>
      <c r="B13" s="9" t="s">
        <v>76</v>
      </c>
      <c r="C13" s="9" t="s">
        <v>87</v>
      </c>
      <c r="D13" s="9" t="s">
        <v>88</v>
      </c>
      <c r="E13" s="9"/>
      <c r="F13" s="9"/>
      <c r="G13" s="9" t="s">
        <v>89</v>
      </c>
      <c r="H13" s="9" t="s">
        <v>90</v>
      </c>
      <c r="I13" s="10"/>
      <c r="J13" s="10"/>
      <c r="K13" s="10"/>
    </row>
    <row r="14" customFormat="false" ht="52.5" hidden="false" customHeight="true" outlineLevel="0" collapsed="false">
      <c r="A14" s="8" t="s">
        <v>91</v>
      </c>
      <c r="B14" s="9" t="s">
        <v>92</v>
      </c>
      <c r="C14" s="9" t="s">
        <v>93</v>
      </c>
      <c r="D14" s="9" t="s">
        <v>94</v>
      </c>
      <c r="E14" s="9" t="s">
        <v>95</v>
      </c>
      <c r="F14" s="9" t="s">
        <v>96</v>
      </c>
      <c r="G14" s="9" t="s">
        <v>19</v>
      </c>
      <c r="H14" s="9" t="s">
        <v>97</v>
      </c>
      <c r="I14" s="10"/>
      <c r="J14" s="10"/>
      <c r="K14" s="10"/>
    </row>
    <row r="15" customFormat="false" ht="66" hidden="false" customHeight="true" outlineLevel="0" collapsed="false">
      <c r="A15" s="8" t="s">
        <v>98</v>
      </c>
      <c r="B15" s="9" t="s">
        <v>56</v>
      </c>
      <c r="C15" s="9" t="s">
        <v>99</v>
      </c>
      <c r="D15" s="9" t="s">
        <v>100</v>
      </c>
      <c r="E15" s="9"/>
      <c r="F15" s="9"/>
      <c r="G15" s="9" t="s">
        <v>59</v>
      </c>
      <c r="H15" s="9" t="s">
        <v>101</v>
      </c>
      <c r="I15" s="10"/>
      <c r="J15" s="10"/>
      <c r="K15" s="10"/>
    </row>
    <row r="16" customFormat="false" ht="78.75" hidden="false" customHeight="true" outlineLevel="0" collapsed="false">
      <c r="A16" s="8" t="s">
        <v>102</v>
      </c>
      <c r="B16" s="9" t="s">
        <v>92</v>
      </c>
      <c r="C16" s="9" t="s">
        <v>103</v>
      </c>
      <c r="D16" s="9" t="s">
        <v>78</v>
      </c>
      <c r="E16" s="9" t="s">
        <v>104</v>
      </c>
      <c r="F16" s="9" t="s">
        <v>105</v>
      </c>
      <c r="G16" s="9" t="s">
        <v>106</v>
      </c>
      <c r="H16" s="9" t="s">
        <v>107</v>
      </c>
      <c r="I16" s="10" t="s">
        <v>108</v>
      </c>
      <c r="J16" s="10"/>
      <c r="K16" s="10"/>
    </row>
    <row r="17" customFormat="false" ht="52.5" hidden="false" customHeight="true" outlineLevel="0" collapsed="false">
      <c r="A17" s="8" t="s">
        <v>109</v>
      </c>
      <c r="B17" s="9" t="s">
        <v>92</v>
      </c>
      <c r="C17" s="9" t="s">
        <v>110</v>
      </c>
      <c r="D17" s="9" t="s">
        <v>78</v>
      </c>
      <c r="E17" s="9" t="s">
        <v>111</v>
      </c>
      <c r="F17" s="9" t="s">
        <v>105</v>
      </c>
      <c r="G17" s="9" t="s">
        <v>19</v>
      </c>
      <c r="H17" s="9" t="s">
        <v>112</v>
      </c>
      <c r="I17" s="10"/>
      <c r="J17" s="10"/>
      <c r="K17" s="10"/>
    </row>
    <row r="18" customFormat="false" ht="52.5" hidden="false" customHeight="true" outlineLevel="0" collapsed="false">
      <c r="A18" s="8" t="s">
        <v>113</v>
      </c>
      <c r="B18" s="9" t="s">
        <v>66</v>
      </c>
      <c r="C18" s="9" t="s">
        <v>114</v>
      </c>
      <c r="D18" s="9" t="s">
        <v>78</v>
      </c>
      <c r="E18" s="9" t="s">
        <v>115</v>
      </c>
      <c r="F18" s="9" t="s">
        <v>105</v>
      </c>
      <c r="G18" s="9" t="s">
        <v>69</v>
      </c>
      <c r="H18" s="9" t="s">
        <v>116</v>
      </c>
      <c r="I18" s="10"/>
      <c r="J18" s="10"/>
      <c r="K18" s="10"/>
    </row>
    <row r="19" customFormat="false" ht="52.5" hidden="false" customHeight="true" outlineLevel="0" collapsed="false">
      <c r="A19" s="8" t="s">
        <v>117</v>
      </c>
      <c r="B19" s="9" t="s">
        <v>66</v>
      </c>
      <c r="C19" s="9" t="s">
        <v>118</v>
      </c>
      <c r="D19" s="9" t="s">
        <v>78</v>
      </c>
      <c r="E19" s="9" t="s">
        <v>119</v>
      </c>
      <c r="F19" s="9" t="s">
        <v>105</v>
      </c>
      <c r="G19" s="9" t="s">
        <v>69</v>
      </c>
      <c r="H19" s="9" t="s">
        <v>120</v>
      </c>
      <c r="I19" s="10"/>
      <c r="J19" s="10"/>
      <c r="K19" s="10"/>
    </row>
    <row r="20" customFormat="false" ht="52.5" hidden="false" customHeight="true" outlineLevel="0" collapsed="false">
      <c r="A20" s="8" t="s">
        <v>121</v>
      </c>
      <c r="B20" s="9" t="s">
        <v>122</v>
      </c>
      <c r="C20" s="9" t="s">
        <v>123</v>
      </c>
      <c r="D20" s="9" t="s">
        <v>78</v>
      </c>
      <c r="E20" s="9" t="s">
        <v>124</v>
      </c>
      <c r="F20" s="9" t="s">
        <v>105</v>
      </c>
      <c r="G20" s="9" t="s">
        <v>125</v>
      </c>
      <c r="H20" s="9" t="s">
        <v>126</v>
      </c>
      <c r="I20" s="10"/>
      <c r="J20" s="10"/>
      <c r="K20" s="10"/>
    </row>
    <row r="21" customFormat="false" ht="52.5" hidden="false" customHeight="true" outlineLevel="0" collapsed="false">
      <c r="A21" s="8" t="s">
        <v>127</v>
      </c>
      <c r="B21" s="9" t="s">
        <v>128</v>
      </c>
      <c r="C21" s="9" t="s">
        <v>129</v>
      </c>
      <c r="D21" s="9" t="s">
        <v>78</v>
      </c>
      <c r="E21" s="9" t="s">
        <v>130</v>
      </c>
      <c r="F21" s="9" t="s">
        <v>105</v>
      </c>
      <c r="G21" s="9" t="s">
        <v>131</v>
      </c>
      <c r="H21" s="9" t="s">
        <v>132</v>
      </c>
      <c r="I21" s="10"/>
      <c r="J21" s="10"/>
      <c r="K21" s="10"/>
    </row>
    <row r="22" customFormat="false" ht="39" hidden="false" customHeight="true" outlineLevel="0" collapsed="false">
      <c r="A22" s="8" t="s">
        <v>133</v>
      </c>
      <c r="B22" s="9" t="s">
        <v>92</v>
      </c>
      <c r="C22" s="9" t="s">
        <v>134</v>
      </c>
      <c r="D22" s="9" t="s">
        <v>135</v>
      </c>
      <c r="E22" s="9" t="s">
        <v>136</v>
      </c>
      <c r="F22" s="9" t="s">
        <v>137</v>
      </c>
      <c r="G22" s="9" t="s">
        <v>59</v>
      </c>
      <c r="H22" s="9" t="s">
        <v>138</v>
      </c>
      <c r="I22" s="10"/>
      <c r="J22" s="10"/>
      <c r="K22" s="10"/>
    </row>
    <row r="23" customFormat="false" ht="66" hidden="false" customHeight="true" outlineLevel="0" collapsed="false">
      <c r="A23" s="8" t="s">
        <v>139</v>
      </c>
      <c r="B23" s="9" t="s">
        <v>140</v>
      </c>
      <c r="C23" s="9" t="s">
        <v>141</v>
      </c>
      <c r="D23" s="9" t="s">
        <v>142</v>
      </c>
      <c r="E23" s="9" t="s">
        <v>143</v>
      </c>
      <c r="F23" s="9" t="s">
        <v>137</v>
      </c>
      <c r="G23" s="9" t="s">
        <v>144</v>
      </c>
      <c r="H23" s="9" t="s">
        <v>145</v>
      </c>
      <c r="I23" s="10" t="s">
        <v>146</v>
      </c>
      <c r="J23" s="10"/>
      <c r="K23" s="10"/>
    </row>
    <row r="24" customFormat="false" ht="26.25" hidden="false" customHeight="true" outlineLevel="0" collapsed="false">
      <c r="A24" s="8" t="s">
        <v>147</v>
      </c>
      <c r="B24" s="9" t="s">
        <v>140</v>
      </c>
      <c r="C24" s="9" t="s">
        <v>148</v>
      </c>
      <c r="D24" s="9" t="s">
        <v>149</v>
      </c>
      <c r="E24" s="9" t="s">
        <v>150</v>
      </c>
      <c r="F24" s="9" t="s">
        <v>137</v>
      </c>
      <c r="G24" s="9" t="s">
        <v>151</v>
      </c>
      <c r="H24" s="9" t="s">
        <v>152</v>
      </c>
      <c r="I24" s="10"/>
      <c r="J24" s="10"/>
      <c r="K24" s="10"/>
    </row>
    <row r="25" customFormat="false" ht="26.25" hidden="false" customHeight="true" outlineLevel="0" collapsed="false">
      <c r="A25" s="8" t="s">
        <v>153</v>
      </c>
      <c r="B25" s="9" t="s">
        <v>140</v>
      </c>
      <c r="C25" s="9" t="s">
        <v>154</v>
      </c>
      <c r="D25" s="9" t="s">
        <v>155</v>
      </c>
      <c r="E25" s="9" t="s">
        <v>156</v>
      </c>
      <c r="F25" s="9" t="s">
        <v>137</v>
      </c>
      <c r="G25" s="9" t="s">
        <v>157</v>
      </c>
      <c r="H25" s="9" t="s">
        <v>158</v>
      </c>
      <c r="I25" s="10"/>
      <c r="J25" s="10"/>
      <c r="K25" s="10"/>
    </row>
    <row r="26" customFormat="false" ht="66" hidden="false" customHeight="true" outlineLevel="0" collapsed="false">
      <c r="A26" s="8" t="s">
        <v>159</v>
      </c>
      <c r="B26" s="9" t="s">
        <v>160</v>
      </c>
      <c r="C26" s="9" t="s">
        <v>161</v>
      </c>
      <c r="D26" s="9" t="s">
        <v>162</v>
      </c>
      <c r="E26" s="9"/>
      <c r="F26" s="9"/>
      <c r="G26" s="9" t="s">
        <v>163</v>
      </c>
      <c r="H26" s="9" t="s">
        <v>164</v>
      </c>
      <c r="I26" s="10"/>
      <c r="J26" s="10"/>
      <c r="K26" s="10"/>
    </row>
    <row r="27" customFormat="false" ht="39" hidden="false" customHeight="true" outlineLevel="0" collapsed="false">
      <c r="A27" s="8" t="s">
        <v>165</v>
      </c>
      <c r="B27" s="9" t="s">
        <v>160</v>
      </c>
      <c r="C27" s="9" t="s">
        <v>166</v>
      </c>
      <c r="D27" s="9" t="s">
        <v>167</v>
      </c>
      <c r="E27" s="9"/>
      <c r="F27" s="9"/>
      <c r="G27" s="9" t="s">
        <v>163</v>
      </c>
      <c r="H27" s="9" t="s">
        <v>168</v>
      </c>
      <c r="I27" s="10"/>
      <c r="J27" s="10"/>
      <c r="K27" s="10"/>
    </row>
  </sheetData>
  <autoFilter ref="A1:K27"/>
  <conditionalFormatting sqref="J2:J27">
    <cfRule type="cellIs" priority="2" operator="equal" aboveAverage="0" equalAverage="0" bottom="0" percent="0" rank="0" text="" dxfId="4">
      <formula>"Pass"</formula>
    </cfRule>
    <cfRule type="cellIs" priority="3" operator="equal" aboveAverage="0" equalAverage="0" bottom="0" percent="0" rank="0" text="" dxfId="5">
      <formula>"Fail"</formula>
    </cfRule>
    <cfRule type="cellIs" priority="4" operator="equal" aboveAverage="0" equalAverage="0" bottom="0" percent="0" rank="0" text="" dxfId="6">
      <formula>"Retest"</formula>
    </cfRule>
  </conditionalFormatting>
  <dataValidations count="2">
    <dataValidation allowBlank="true" errorStyle="stop" operator="between" showDropDown="false" showErrorMessage="false" showInputMessage="false" sqref="I2:I27" type="list">
      <formula1>"ANSWERED,ANSWERED_WITH_CAVEATS,MISSING_INFO,INSUFFICIENT_EVIDENCE,CONFLICT,TOOL_FAILURE,NEEDS_INPUT,INTERRUPTED,Rejected (HTTP 415),Other"</formula1>
      <formula2>0</formula2>
    </dataValidation>
    <dataValidation allowBlank="true" errorStyle="stop" operator="between" showDropDown="false" showErrorMessage="false" showInputMessage="false" sqref="J2:J27" type="list">
      <formula1>"Pass,Fail,Retest,Blocked"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2" activeCellId="0" sqref="A22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2"/>
    <col collapsed="false" customWidth="true" hidden="false" outlineLevel="0" max="3" min="3" style="1" width="10"/>
  </cols>
  <sheetData>
    <row r="1" customFormat="false" ht="17.25" hidden="false" customHeight="true" outlineLevel="0" collapsed="false">
      <c r="A1" s="11" t="s">
        <v>169</v>
      </c>
    </row>
    <row r="3" customFormat="false" ht="14.25" hidden="false" customHeight="true" outlineLevel="0" collapsed="false">
      <c r="A3" s="12" t="s">
        <v>170</v>
      </c>
      <c r="B3" s="13" t="n">
        <f aca="false">COUNTA('Test cases'!A2:A27)</f>
        <v>26</v>
      </c>
    </row>
    <row r="4" customFormat="false" ht="14.25" hidden="false" customHeight="true" outlineLevel="0" collapsed="false">
      <c r="A4" s="13" t="s">
        <v>21</v>
      </c>
      <c r="B4" s="13" t="n">
        <f aca="false">COUNTIF('Test cases'!J2:J27,"Pass")</f>
        <v>0</v>
      </c>
    </row>
    <row r="5" customFormat="false" ht="14.25" hidden="false" customHeight="true" outlineLevel="0" collapsed="false">
      <c r="A5" s="13" t="s">
        <v>171</v>
      </c>
      <c r="B5" s="13" t="n">
        <f aca="false">COUNTIF('Test cases'!J2:J27,"Fail")</f>
        <v>0</v>
      </c>
    </row>
    <row r="6" customFormat="false" ht="14.25" hidden="false" customHeight="true" outlineLevel="0" collapsed="false">
      <c r="A6" s="13" t="s">
        <v>172</v>
      </c>
      <c r="B6" s="13" t="n">
        <f aca="false">COUNTIF('Test cases'!J2:J27,"Retest")</f>
        <v>0</v>
      </c>
    </row>
    <row r="7" customFormat="false" ht="14.25" hidden="false" customHeight="true" outlineLevel="0" collapsed="false">
      <c r="A7" s="13" t="s">
        <v>173</v>
      </c>
      <c r="B7" s="13" t="n">
        <f aca="false">COUNTIF('Test cases'!J2:J27,"Blocked")</f>
        <v>0</v>
      </c>
    </row>
    <row r="8" customFormat="false" ht="14.25" hidden="false" customHeight="true" outlineLevel="0" collapsed="false">
      <c r="A8" s="13" t="s">
        <v>174</v>
      </c>
      <c r="B8" s="13" t="n">
        <f aca="false">B3-SUM(B4:B7)</f>
        <v>26</v>
      </c>
    </row>
    <row r="9" customFormat="false" ht="14.25" hidden="false" customHeight="true" outlineLevel="0" collapsed="false">
      <c r="A9" s="13" t="s">
        <v>175</v>
      </c>
      <c r="B9" s="14" t="n">
        <f aca="false">IFERROR(B4/SUM(B4:B7),0)</f>
        <v>0</v>
      </c>
    </row>
    <row r="11" customFormat="false" ht="14.25" hidden="false" customHeight="true" outlineLevel="0" collapsed="false">
      <c r="A11" s="12" t="s">
        <v>176</v>
      </c>
    </row>
    <row r="12" customFormat="false" ht="14.25" hidden="false" customHeight="true" outlineLevel="0" collapsed="false">
      <c r="A12" s="12" t="s">
        <v>27</v>
      </c>
      <c r="B12" s="12" t="s">
        <v>177</v>
      </c>
      <c r="C12" s="12" t="s">
        <v>21</v>
      </c>
    </row>
    <row r="13" customFormat="false" ht="14.25" hidden="false" customHeight="true" outlineLevel="0" collapsed="false">
      <c r="A13" s="13" t="s">
        <v>35</v>
      </c>
      <c r="B13" s="13" t="n">
        <f aca="false">COUNTIF('Test cases'!B2:B27,A13)</f>
        <v>6</v>
      </c>
      <c r="C13" s="13" t="n">
        <f aca="false">COUNTIFS('Test cases'!B2:B27,A13,'Test cases'!J2:J27,"Pass")</f>
        <v>0</v>
      </c>
    </row>
    <row r="14" customFormat="false" ht="14.25" hidden="false" customHeight="true" outlineLevel="0" collapsed="false">
      <c r="A14" s="13" t="s">
        <v>56</v>
      </c>
      <c r="B14" s="13" t="n">
        <f aca="false">COUNTIF('Test cases'!B2:B27,A14)</f>
        <v>2</v>
      </c>
      <c r="C14" s="13" t="n">
        <f aca="false">COUNTIFS('Test cases'!B2:B27,A14,'Test cases'!J2:J27,"Pass")</f>
        <v>0</v>
      </c>
    </row>
    <row r="15" customFormat="false" ht="14.25" hidden="false" customHeight="true" outlineLevel="0" collapsed="false">
      <c r="A15" s="13" t="s">
        <v>178</v>
      </c>
      <c r="B15" s="13" t="n">
        <f aca="false">COUNTIF('Test cases'!B2:B27,A15)</f>
        <v>0</v>
      </c>
      <c r="C15" s="13" t="n">
        <f aca="false">COUNTIFS('Test cases'!B2:B27,A15,'Test cases'!J2:J27,"Pass")</f>
        <v>0</v>
      </c>
    </row>
    <row r="16" customFormat="false" ht="14.25" hidden="false" customHeight="true" outlineLevel="0" collapsed="false">
      <c r="A16" s="13" t="s">
        <v>66</v>
      </c>
      <c r="B16" s="13" t="n">
        <f aca="false">COUNTIF('Test cases'!B2:B27,A16)</f>
        <v>4</v>
      </c>
      <c r="C16" s="13" t="n">
        <f aca="false">COUNTIFS('Test cases'!B2:B27,A16,'Test cases'!J2:J27,"Pass")</f>
        <v>0</v>
      </c>
    </row>
    <row r="17" customFormat="false" ht="14.25" hidden="false" customHeight="true" outlineLevel="0" collapsed="false">
      <c r="A17" s="13" t="s">
        <v>76</v>
      </c>
      <c r="B17" s="13" t="n">
        <f aca="false">COUNTIF('Test cases'!B2:B27,A17)</f>
        <v>3</v>
      </c>
      <c r="C17" s="13" t="n">
        <f aca="false">COUNTIFS('Test cases'!B2:B27,A17,'Test cases'!J2:J27,"Pass")</f>
        <v>0</v>
      </c>
    </row>
    <row r="18" customFormat="false" ht="14.25" hidden="false" customHeight="true" outlineLevel="0" collapsed="false">
      <c r="A18" s="13" t="s">
        <v>92</v>
      </c>
      <c r="B18" s="13" t="n">
        <f aca="false">COUNTIF('Test cases'!B2:B27,A18)</f>
        <v>4</v>
      </c>
      <c r="C18" s="13" t="n">
        <f aca="false">COUNTIFS('Test cases'!B2:B27,A18,'Test cases'!J2:J27,"Pass")</f>
        <v>0</v>
      </c>
    </row>
    <row r="19" customFormat="false" ht="14.25" hidden="false" customHeight="true" outlineLevel="0" collapsed="false">
      <c r="A19" s="13" t="s">
        <v>122</v>
      </c>
      <c r="B19" s="13" t="n">
        <f aca="false">COUNTIF('Test cases'!B2:B27,A19)</f>
        <v>1</v>
      </c>
      <c r="C19" s="13" t="n">
        <f aca="false">COUNTIFS('Test cases'!B2:B27,A19,'Test cases'!J2:J27,"Pass")</f>
        <v>0</v>
      </c>
    </row>
    <row r="20" customFormat="false" ht="14.25" hidden="false" customHeight="true" outlineLevel="0" collapsed="false">
      <c r="A20" s="13" t="s">
        <v>128</v>
      </c>
      <c r="B20" s="13" t="n">
        <f aca="false">COUNTIF('Test cases'!B2:B27,A20)</f>
        <v>1</v>
      </c>
      <c r="C20" s="13" t="n">
        <f aca="false">COUNTIFS('Test cases'!B2:B27,A20,'Test cases'!J2:J27,"Pass")</f>
        <v>0</v>
      </c>
    </row>
    <row r="21" customFormat="false" ht="14.25" hidden="false" customHeight="true" outlineLevel="0" collapsed="false">
      <c r="A21" s="13" t="s">
        <v>140</v>
      </c>
      <c r="B21" s="13" t="n">
        <f aca="false">COUNTIF('Test cases'!B2:B27,A21)</f>
        <v>3</v>
      </c>
      <c r="C21" s="13" t="n">
        <f aca="false">COUNTIFS('Test cases'!B2:B27,A21,'Test cases'!J2:J27,"Pass")</f>
        <v>0</v>
      </c>
    </row>
    <row r="22" customFormat="false" ht="14.25" hidden="false" customHeight="true" outlineLevel="0" collapsed="false">
      <c r="A22" s="13" t="s">
        <v>160</v>
      </c>
      <c r="B22" s="13" t="n">
        <f aca="false">COUNTIF('Test cases'!B2:B27,A22)</f>
        <v>2</v>
      </c>
      <c r="C22" s="13" t="n">
        <f aca="false">COUNTIFS('Test cases'!B2:B27,A22,'Test cases'!J2:J27,"Pass")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2026-10-28T16:04:44Z</dcterms:created>
  <dc:creator>openpyxl</dc:creator>
  <dc:description/>
  <dc:language>en-US</dc:language>
  <cp:lastModifiedBy>Jaskaran Singh</cp:lastModifiedBy>
  <dcterms:modified xsi:type="dcterms:W3CDTF">2026-10-28T23:54:23Z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